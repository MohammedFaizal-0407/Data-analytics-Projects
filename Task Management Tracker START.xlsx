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shanth Jetty\OneDrive\Desktop\"/>
    </mc:Choice>
  </mc:AlternateContent>
  <xr:revisionPtr revIDLastSave="0" documentId="13_ncr:1_{46B539E0-5961-473D-B9B8-18AADF0FBF8E}" xr6:coauthVersionLast="47" xr6:coauthVersionMax="47" xr10:uidLastSave="{00000000-0000-0000-0000-000000000000}"/>
  <bookViews>
    <workbookView xWindow="-110" yWindow="-110" windowWidth="19420" windowHeight="11020" xr2:uid="{1A5F5666-BE82-F64F-A80E-7F153D5D7E43}"/>
  </bookViews>
  <sheets>
    <sheet name="Intro" sheetId="6" r:id="rId1"/>
    <sheet name="Dashboard" sheetId="4" r:id="rId2"/>
    <sheet name="Support Sheet" sheetId="2" r:id="rId3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4" i="2"/>
  <c r="I3" i="2"/>
  <c r="F7" i="2"/>
  <c r="F6" i="2"/>
  <c r="F5" i="2"/>
  <c r="F4" i="2"/>
  <c r="F3" i="2"/>
  <c r="C5" i="2"/>
  <c r="C3" i="2"/>
  <c r="C4" i="2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13" i="4"/>
  <c r="C6" i="2" l="1"/>
  <c r="K3" i="2"/>
</calcChain>
</file>

<file path=xl/sharedStrings.xml><?xml version="1.0" encoding="utf-8"?>
<sst xmlns="http://schemas.openxmlformats.org/spreadsheetml/2006/main" count="120" uniqueCount="71">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</sst>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Days&quot;"/>
  </numFmts>
  <fonts count="1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5" fillId="3" borderId="0" xfId="3" applyFill="1"/>
    <xf numFmtId="0" fontId="9" fillId="3" borderId="0" xfId="4" applyFont="1" applyFill="1" applyBorder="1" applyAlignment="1">
      <alignment horizontal="center" vertical="center"/>
    </xf>
    <xf numFmtId="0" fontId="5" fillId="3" borderId="0" xfId="3" applyFill="1" applyAlignment="1">
      <alignment vertical="center"/>
    </xf>
    <xf numFmtId="0" fontId="11" fillId="3" borderId="0" xfId="4" applyFont="1" applyFill="1" applyBorder="1"/>
    <xf numFmtId="0" fontId="7" fillId="3" borderId="0" xfId="3" applyFont="1" applyFill="1" applyAlignment="1">
      <alignment horizontal="center" vertical="center"/>
    </xf>
    <xf numFmtId="0" fontId="8" fillId="3" borderId="0" xfId="3" applyFont="1" applyFill="1" applyAlignment="1">
      <alignment horizontal="center"/>
    </xf>
    <xf numFmtId="0" fontId="10" fillId="3" borderId="0" xfId="2" applyFont="1" applyFill="1" applyBorder="1"/>
    <xf numFmtId="0" fontId="12" fillId="3" borderId="0" xfId="3" applyFont="1" applyFill="1"/>
    <xf numFmtId="0" fontId="5" fillId="3" borderId="0" xfId="3" applyFill="1" applyAlignment="1">
      <alignment vertical="top" wrapText="1"/>
    </xf>
  </cellXfs>
  <cellStyles count="5">
    <cellStyle name="Hyperlink" xfId="2" builtinId="8"/>
    <cellStyle name="Hyperlink 2" xfId="4" xr:uid="{D116B123-67C6-344C-8E97-773FA34E970D}"/>
    <cellStyle name="Normal" xfId="0" builtinId="0"/>
    <cellStyle name="Normal 2" xfId="1" xr:uid="{A1221B63-1151-9945-AD17-D34A8F7994D7}"/>
    <cellStyle name="Normal 2 2" xfId="3" xr:uid="{6371BA46-78D2-CF43-B416-26A12EFA2F80}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\ &quot;Days&quot;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2577A"/>
      <color rgb="FF073673"/>
      <color rgb="FF57CC99"/>
      <color rgb="FFC7F9CC"/>
      <color rgb="FFC0E6F5"/>
      <color rgb="FF80ED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By Owners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7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C-4014-876F-3BA20911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1192906848"/>
        <c:axId val="1192907328"/>
      </c:barChart>
      <c:catAx>
        <c:axId val="119290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07328"/>
        <c:crosses val="autoZero"/>
        <c:auto val="1"/>
        <c:lblAlgn val="ctr"/>
        <c:lblOffset val="100"/>
        <c:noMultiLvlLbl val="0"/>
      </c:catAx>
      <c:valAx>
        <c:axId val="1192907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290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By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7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8-42FE-87C6-F43DCB184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axId val="1192924128"/>
        <c:axId val="1192924608"/>
      </c:barChart>
      <c:catAx>
        <c:axId val="119292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24608"/>
        <c:crosses val="autoZero"/>
        <c:auto val="1"/>
        <c:lblAlgn val="ctr"/>
        <c:lblOffset val="100"/>
        <c:noMultiLvlLbl val="0"/>
      </c:catAx>
      <c:valAx>
        <c:axId val="1192924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292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310745</xdr:colOff>
      <xdr:row>89</xdr:row>
      <xdr:rowOff>71886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E9BF0F4-0E33-478E-515A-8033BA830937}"/>
            </a:ext>
          </a:extLst>
        </xdr:cNvPr>
        <xdr:cNvSpPr/>
      </xdr:nvSpPr>
      <xdr:spPr>
        <a:xfrm>
          <a:off x="0" y="0"/>
          <a:ext cx="13921311" cy="193734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40532</xdr:colOff>
      <xdr:row>0</xdr:row>
      <xdr:rowOff>175638</xdr:rowOff>
    </xdr:from>
    <xdr:to>
      <xdr:col>1</xdr:col>
      <xdr:colOff>445851</xdr:colOff>
      <xdr:row>3</xdr:row>
      <xdr:rowOff>13510</xdr:rowOff>
    </xdr:to>
    <xdr:pic>
      <xdr:nvPicPr>
        <xdr:cNvPr id="4" name="Graphic 3" descr="Checklist with solid fill">
          <a:extLst>
            <a:ext uri="{FF2B5EF4-FFF2-40B4-BE49-F238E27FC236}">
              <a16:creationId xmlns:a16="http://schemas.microsoft.com/office/drawing/2014/main" id="{3B289232-FA26-BC06-6B68-8F054726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32" y="175638"/>
          <a:ext cx="1229468" cy="1229468"/>
        </a:xfrm>
        <a:prstGeom prst="rect">
          <a:avLst/>
        </a:prstGeom>
      </xdr:spPr>
    </xdr:pic>
    <xdr:clientData/>
  </xdr:twoCellAnchor>
  <xdr:twoCellAnchor>
    <xdr:from>
      <xdr:col>1</xdr:col>
      <xdr:colOff>526915</xdr:colOff>
      <xdr:row>1</xdr:row>
      <xdr:rowOff>13510</xdr:rowOff>
    </xdr:from>
    <xdr:to>
      <xdr:col>8</xdr:col>
      <xdr:colOff>607979</xdr:colOff>
      <xdr:row>2</xdr:row>
      <xdr:rowOff>932234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2FF1E9-C8CA-5A95-8F20-6933A17A068D}"/>
            </a:ext>
          </a:extLst>
        </xdr:cNvPr>
        <xdr:cNvSpPr txBox="1"/>
      </xdr:nvSpPr>
      <xdr:spPr>
        <a:xfrm>
          <a:off x="1351064" y="216170"/>
          <a:ext cx="12051489" cy="11213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800" b="1">
              <a:latin typeface="Aptos Display" panose="020B0004020202020204" pitchFamily="34" charset="0"/>
            </a:rPr>
            <a:t>Task Managment Tracker</a:t>
          </a:r>
        </a:p>
      </xdr:txBody>
    </xdr:sp>
    <xdr:clientData/>
  </xdr:twoCellAnchor>
  <xdr:twoCellAnchor>
    <xdr:from>
      <xdr:col>0</xdr:col>
      <xdr:colOff>13511</xdr:colOff>
      <xdr:row>3</xdr:row>
      <xdr:rowOff>351274</xdr:rowOff>
    </xdr:from>
    <xdr:to>
      <xdr:col>9</xdr:col>
      <xdr:colOff>175639</xdr:colOff>
      <xdr:row>86</xdr:row>
      <xdr:rowOff>143773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4E2CE1-5ACF-EA64-8D5E-2F96274BD1A2}"/>
            </a:ext>
          </a:extLst>
        </xdr:cNvPr>
        <xdr:cNvSpPr txBox="1"/>
      </xdr:nvSpPr>
      <xdr:spPr>
        <a:xfrm>
          <a:off x="13511" y="1753066"/>
          <a:ext cx="13772694" cy="1708127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Project Overview</a:t>
          </a:r>
        </a:p>
        <a:p>
          <a:r>
            <a:rPr lang="en-IN" sz="1400"/>
            <a:t>This Excel dashboard tracks </a:t>
          </a:r>
          <a:r>
            <a:rPr lang="en-IN" sz="1400" b="1"/>
            <a:t>task status, team workload, owner-wise progress, and overdue work</a:t>
          </a:r>
          <a:r>
            <a:rPr lang="en-IN" sz="1400"/>
            <a:t> to support </a:t>
          </a:r>
          <a:r>
            <a:rPr lang="en-IN" sz="1400" b="1"/>
            <a:t>project management decision-making</a:t>
          </a:r>
          <a:r>
            <a:rPr lang="en-IN" sz="1400"/>
            <a:t>.</a:t>
          </a:r>
          <a:br>
            <a:rPr lang="en-IN" sz="1400"/>
          </a:br>
          <a:r>
            <a:rPr lang="en-IN" sz="1400"/>
            <a:t>It provides visibility on task completion, pending work, and work distribution across different departments and team members.</a:t>
          </a:r>
        </a:p>
        <a:p>
          <a:r>
            <a:rPr lang="en-IN" sz="1400"/>
            <a:t>The dashboard enables </a:t>
          </a:r>
          <a:r>
            <a:rPr lang="en-IN" sz="1400" b="1"/>
            <a:t>quick monitoring of project progress</a:t>
          </a:r>
          <a:r>
            <a:rPr lang="en-IN" sz="1400"/>
            <a:t>, helping managers identify </a:t>
          </a:r>
          <a:r>
            <a:rPr lang="en-IN" sz="1400" b="1"/>
            <a:t>bottlenecks, overdue work, and productivity trends</a:t>
          </a:r>
          <a:r>
            <a:rPr lang="en-IN" sz="1400"/>
            <a:t>.</a:t>
          </a:r>
        </a:p>
        <a:p>
          <a:br>
            <a:rPr lang="en-IN" sz="1400"/>
          </a:br>
          <a:r>
            <a:rPr lang="en-IN" sz="1400" b="1"/>
            <a:t> Business Objectives</a:t>
          </a:r>
        </a:p>
        <a:p>
          <a:r>
            <a:rPr lang="en-IN" sz="1400"/>
            <a:t>Track progress of all tasks (Completed, In Progress, Not Started).</a:t>
          </a:r>
        </a:p>
        <a:p>
          <a:r>
            <a:rPr lang="en-IN" sz="1400"/>
            <a:t>Monitor </a:t>
          </a:r>
          <a:r>
            <a:rPr lang="en-IN" sz="1400" b="1"/>
            <a:t>owner-wise task distribution &amp; responsibility</a:t>
          </a:r>
          <a:r>
            <a:rPr lang="en-IN" sz="1400"/>
            <a:t>.</a:t>
          </a:r>
        </a:p>
        <a:p>
          <a:r>
            <a:rPr lang="en-IN" sz="1400"/>
            <a:t>Analyze work allocation across </a:t>
          </a:r>
          <a:r>
            <a:rPr lang="en-IN" sz="1400" b="1"/>
            <a:t>teams/departments</a:t>
          </a:r>
          <a:r>
            <a:rPr lang="en-IN" sz="1400"/>
            <a:t>.</a:t>
          </a:r>
        </a:p>
        <a:p>
          <a:r>
            <a:rPr lang="en-IN" sz="1400"/>
            <a:t>Identify </a:t>
          </a:r>
          <a:r>
            <a:rPr lang="en-IN" sz="1400" b="1"/>
            <a:t>overdue &amp; delayed tasks</a:t>
          </a:r>
          <a:r>
            <a:rPr lang="en-IN" sz="1400"/>
            <a:t> to take action.</a:t>
          </a:r>
        </a:p>
        <a:p>
          <a:r>
            <a:rPr lang="en-IN" sz="1400"/>
            <a:t>Build an </a:t>
          </a:r>
          <a:r>
            <a:rPr lang="en-IN" sz="1400" b="1"/>
            <a:t>interactive Excel dashboard</a:t>
          </a:r>
          <a:r>
            <a:rPr lang="en-IN" sz="1400"/>
            <a:t> for real-time tracking.</a:t>
          </a:r>
        </a:p>
        <a:p>
          <a:r>
            <a:rPr lang="en-IN" sz="1400"/>
            <a:t>Support </a:t>
          </a:r>
          <a:r>
            <a:rPr lang="en-IN" sz="1400" b="1"/>
            <a:t>project planning &amp; resource optimization</a:t>
          </a:r>
          <a:r>
            <a:rPr lang="en-IN" sz="1400"/>
            <a:t>.</a:t>
          </a:r>
        </a:p>
        <a:p>
          <a:endParaRPr lang="en-IN" sz="1400"/>
        </a:p>
        <a:p>
          <a:r>
            <a:rPr lang="en-IN" sz="1400" b="1"/>
            <a:t>KPIs Measured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/>
            <a:t>KPI                                                  Why It Matters</a:t>
          </a:r>
          <a:endParaRPr lang="en-IN" sz="1400"/>
        </a:p>
        <a:p>
          <a:r>
            <a:rPr lang="en-IN" sz="1400"/>
            <a:t>Total Tasks		Shows overall project scope.</a:t>
          </a:r>
        </a:p>
        <a:p>
          <a:r>
            <a:rPr lang="en-IN" sz="1400"/>
            <a:t>Completed Tasks	Measures progress &amp; success rate.</a:t>
          </a:r>
        </a:p>
        <a:p>
          <a:r>
            <a:rPr lang="en-IN" sz="1400"/>
            <a:t>in-Progress Tasks	indicates ongoing workload.</a:t>
          </a:r>
        </a:p>
        <a:p>
          <a:r>
            <a:rPr lang="en-IN" sz="1400"/>
            <a:t>Not Started Tasks	Highlights pending action items.</a:t>
          </a:r>
        </a:p>
        <a:p>
          <a:r>
            <a:rPr lang="en-IN" sz="1400"/>
            <a:t>Owner-wise Task Count	Helps assign responsibilities.</a:t>
          </a:r>
        </a:p>
        <a:p>
          <a:r>
            <a:rPr lang="en-IN" sz="1400"/>
            <a:t>Team-wise Task Count	Shows department workload.</a:t>
          </a:r>
        </a:p>
        <a:p>
          <a:r>
            <a:rPr lang="en-IN" sz="1400"/>
            <a:t>Overdue Tasks	Flags critical delays.</a:t>
          </a:r>
        </a:p>
        <a:p>
          <a:endParaRPr lang="en-IN" sz="1400"/>
        </a:p>
        <a:p>
          <a:r>
            <a:rPr lang="en-IN" sz="1400" b="1"/>
            <a:t>Data Understanding</a:t>
          </a:r>
        </a:p>
        <a:p>
          <a:r>
            <a:rPr lang="en-IN" sz="1400"/>
            <a:t>Dataset includes:</a:t>
          </a:r>
        </a:p>
        <a:p>
          <a:r>
            <a:rPr lang="en-IN" sz="1400"/>
            <a:t>Task Status (Completed / In Progress / Not Started)</a:t>
          </a:r>
        </a:p>
        <a:p>
          <a:r>
            <a:rPr lang="en-IN" sz="1400"/>
            <a:t>Owners responsible</a:t>
          </a:r>
        </a:p>
        <a:p>
          <a:r>
            <a:rPr lang="en-IN" sz="1400"/>
            <a:t>Team allocation (Finance, HR, Strategy, Marketing…)</a:t>
          </a:r>
        </a:p>
        <a:p>
          <a:r>
            <a:rPr lang="en-IN" sz="1400"/>
            <a:t>Overdue counts</a:t>
          </a:r>
        </a:p>
        <a:p>
          <a:r>
            <a:rPr lang="en-IN" sz="1400"/>
            <a:t>Total task summary</a:t>
          </a:r>
        </a:p>
        <a:p>
          <a:r>
            <a:rPr lang="en-IN" sz="1400"/>
            <a:t>This structure enables clear visibility of </a:t>
          </a:r>
          <a:r>
            <a:rPr lang="en-IN" sz="1400" b="1"/>
            <a:t>project progress &amp; resource allocation</a:t>
          </a:r>
          <a:r>
            <a:rPr lang="en-IN" sz="1400"/>
            <a:t>.</a:t>
          </a:r>
        </a:p>
        <a:p>
          <a:endParaRPr lang="en-IN" sz="1400"/>
        </a:p>
        <a:p>
          <a:r>
            <a:rPr lang="en-IN" sz="1400" b="1"/>
            <a:t>Data Cleaning &amp; Structuring</a:t>
          </a:r>
        </a:p>
        <a:p>
          <a:r>
            <a:rPr lang="en-IN" sz="1400"/>
            <a:t>✔ Removed blanks &amp; merged cells</a:t>
          </a:r>
          <a:br>
            <a:rPr lang="en-IN" sz="1400"/>
          </a:br>
          <a:r>
            <a:rPr lang="en-IN" sz="1400"/>
            <a:t>✔ Cleaned headers for KPI reading</a:t>
          </a:r>
          <a:br>
            <a:rPr lang="en-IN" sz="1400"/>
          </a:br>
          <a:r>
            <a:rPr lang="en-IN" sz="1400"/>
            <a:t>✔ Created structured tables for pivot use</a:t>
          </a:r>
          <a:br>
            <a:rPr lang="en-IN" sz="1400"/>
          </a:br>
          <a:r>
            <a:rPr lang="en-IN" sz="1400"/>
            <a:t>✔ Converted data into </a:t>
          </a:r>
          <a:r>
            <a:rPr lang="en-IN" sz="1400" b="1"/>
            <a:t>Excel Table</a:t>
          </a:r>
          <a:r>
            <a:rPr lang="en-IN" sz="1400"/>
            <a:t> format</a:t>
          </a:r>
          <a:br>
            <a:rPr lang="en-IN" sz="1400"/>
          </a:br>
          <a:r>
            <a:rPr lang="en-IN" sz="1400"/>
            <a:t>✔ Added helper columns for dashboard calculations</a:t>
          </a:r>
        </a:p>
        <a:p>
          <a:endParaRPr lang="en-IN" sz="1400"/>
        </a:p>
        <a:p>
          <a:r>
            <a:rPr lang="en-IN" sz="1400" b="1"/>
            <a:t>Data Analysis &amp; Insights</a:t>
          </a:r>
        </a:p>
        <a:p>
          <a:r>
            <a:rPr lang="en-IN" sz="1400" b="1"/>
            <a:t>Owner-Wise Analysis</a:t>
          </a:r>
        </a:p>
        <a:p>
          <a:r>
            <a:rPr lang="en-IN" sz="1400"/>
            <a:t>Sarah Johnson completed </a:t>
          </a:r>
          <a:r>
            <a:rPr lang="en-IN" sz="1400" b="1"/>
            <a:t>6 tasks</a:t>
          </a:r>
          <a:r>
            <a:rPr lang="en-IN" sz="1400"/>
            <a:t> </a:t>
          </a:r>
        </a:p>
        <a:p>
          <a:r>
            <a:rPr lang="en-IN" sz="1400"/>
            <a:t>David Kim handled 3 tasks</a:t>
          </a:r>
        </a:p>
        <a:p>
          <a:r>
            <a:rPr lang="en-IN" sz="1400"/>
            <a:t>Some owners handled only </a:t>
          </a:r>
          <a:r>
            <a:rPr lang="en-IN" sz="1400" b="1"/>
            <a:t>1 task</a:t>
          </a:r>
          <a:r>
            <a:rPr lang="en-IN" sz="1400"/>
            <a:t> → can take more work</a:t>
          </a:r>
        </a:p>
        <a:p>
          <a:r>
            <a:rPr lang="en-IN" sz="1400" b="1"/>
            <a:t>Workload is uneven – potential for redistribution</a:t>
          </a:r>
          <a:endParaRPr lang="en-IN" sz="1400"/>
        </a:p>
        <a:p>
          <a:r>
            <a:rPr lang="en-IN" sz="1400" b="1"/>
            <a:t> Team-Level Insights</a:t>
          </a:r>
        </a:p>
        <a:p>
          <a:r>
            <a:rPr lang="en-IN" sz="1400"/>
            <a:t>Strategy &amp; HR teams have </a:t>
          </a:r>
          <a:r>
            <a:rPr lang="en-IN" sz="1400" b="1"/>
            <a:t>highest number of active tasks</a:t>
          </a:r>
          <a:endParaRPr lang="en-IN" sz="1400"/>
        </a:p>
        <a:p>
          <a:r>
            <a:rPr lang="en-IN" sz="1400"/>
            <a:t>Marketing has only 1 task → </a:t>
          </a:r>
          <a:r>
            <a:rPr lang="en-IN" sz="1400" b="1"/>
            <a:t>underutilized</a:t>
          </a:r>
          <a:endParaRPr lang="en-IN" sz="1400"/>
        </a:p>
        <a:p>
          <a:r>
            <a:rPr lang="en-IN" sz="1400"/>
            <a:t>Finance is moderately loaded</a:t>
          </a:r>
        </a:p>
        <a:p>
          <a:r>
            <a:rPr lang="en-IN" sz="1400"/>
            <a:t>Helps </a:t>
          </a:r>
          <a:r>
            <a:rPr lang="en-IN" sz="1400" b="1"/>
            <a:t>decide hiring / internal shifts</a:t>
          </a:r>
        </a:p>
        <a:p>
          <a:endParaRPr lang="en-IN" sz="1400"/>
        </a:p>
        <a:p>
          <a:r>
            <a:rPr lang="en-IN" sz="1400" b="1"/>
            <a:t>Overdue Tasks</a:t>
          </a:r>
        </a:p>
        <a:p>
          <a:r>
            <a:rPr lang="en-IN" sz="1400"/>
            <a:t>8 tasks overdue → need </a:t>
          </a:r>
          <a:r>
            <a:rPr lang="en-IN" sz="1400" b="1"/>
            <a:t>urgent follow-up</a:t>
          </a:r>
          <a:endParaRPr lang="en-IN" sz="1400"/>
        </a:p>
        <a:p>
          <a:r>
            <a:rPr lang="en-IN" sz="1400"/>
            <a:t>Potential risk to project timeline</a:t>
          </a:r>
        </a:p>
        <a:p>
          <a:r>
            <a:rPr lang="en-IN" sz="1400"/>
            <a:t>Dashboard highlights overdue items using </a:t>
          </a:r>
          <a:r>
            <a:rPr lang="en-IN" sz="1400" b="1"/>
            <a:t>conditional formatting</a:t>
          </a:r>
          <a:endParaRPr lang="en-IN" sz="1400"/>
        </a:p>
        <a:p>
          <a:br>
            <a:rPr lang="en-IN" sz="1400"/>
          </a:br>
          <a:r>
            <a:rPr lang="en-IN" sz="1400" b="1"/>
            <a:t>Skills Used</a:t>
          </a:r>
        </a:p>
        <a:p>
          <a:r>
            <a:rPr lang="en-IN" sz="1400" b="1"/>
            <a:t> Excel Skills</a:t>
          </a:r>
        </a:p>
        <a:p>
          <a:r>
            <a:rPr lang="en-IN" sz="1400"/>
            <a:t>Pivot Tables &amp; Charts</a:t>
          </a:r>
        </a:p>
        <a:p>
          <a:r>
            <a:rPr lang="en-IN" sz="1400"/>
            <a:t>SUMIFS / COUNTIFS</a:t>
          </a:r>
        </a:p>
        <a:p>
          <a:r>
            <a:rPr lang="en-IN" sz="1400"/>
            <a:t>Data Cleaning &amp; Table formatting</a:t>
          </a:r>
        </a:p>
        <a:p>
          <a:r>
            <a:rPr lang="en-IN" sz="1400"/>
            <a:t>Conditional Formatting</a:t>
          </a:r>
        </a:p>
        <a:p>
          <a:r>
            <a:rPr lang="en-IN" sz="1400"/>
            <a:t>Dashboard Visualization</a:t>
          </a:r>
        </a:p>
        <a:p>
          <a:r>
            <a:rPr lang="en-IN" sz="1400"/>
            <a:t>Slicers &amp; Filtering</a:t>
          </a:r>
        </a:p>
        <a:p>
          <a:r>
            <a:rPr lang="en-IN" sz="1400"/>
            <a:t>KPI Card Creation</a:t>
          </a:r>
        </a:p>
        <a:p>
          <a:endParaRPr lang="en-IN" sz="1400"/>
        </a:p>
        <a:p>
          <a:r>
            <a:rPr lang="en-IN" sz="1400" b="1"/>
            <a:t> Analytics Skills</a:t>
          </a:r>
        </a:p>
        <a:p>
          <a:r>
            <a:rPr lang="en-IN" sz="1400"/>
            <a:t>Resource Allocation Analysis</a:t>
          </a:r>
        </a:p>
        <a:p>
          <a:r>
            <a:rPr lang="en-IN" sz="1400"/>
            <a:t>Team Workload Optimization</a:t>
          </a:r>
        </a:p>
        <a:p>
          <a:r>
            <a:rPr lang="en-IN" sz="1400"/>
            <a:t>Task Performance Tracking</a:t>
          </a:r>
        </a:p>
        <a:p>
          <a:r>
            <a:rPr lang="en-IN" sz="1400"/>
            <a:t>Bottleneck Identification</a:t>
          </a:r>
        </a:p>
        <a:p>
          <a:r>
            <a:rPr lang="en-IN" sz="1400"/>
            <a:t>Risk Management (overdue tasks)</a:t>
          </a:r>
        </a:p>
        <a:p>
          <a:r>
            <a:rPr lang="en-IN" sz="1400" b="1"/>
            <a:t> Soft Skills</a:t>
          </a:r>
        </a:p>
        <a:p>
          <a:r>
            <a:rPr lang="en-IN" sz="1400"/>
            <a:t>Project coordination</a:t>
          </a:r>
        </a:p>
        <a:p>
          <a:r>
            <a:rPr lang="en-IN" sz="1400"/>
            <a:t>Insight storytelling</a:t>
          </a:r>
        </a:p>
        <a:p>
          <a:r>
            <a:rPr lang="en-IN" sz="1400"/>
            <a:t>Decision support</a:t>
          </a:r>
        </a:p>
        <a:p>
          <a:r>
            <a:rPr lang="en-IN" sz="1400"/>
            <a:t>Stakeholder communication</a:t>
          </a:r>
        </a:p>
        <a:p>
          <a:endParaRPr lang="en-IN" sz="1400"/>
        </a:p>
        <a:p>
          <a:endParaRPr lang="en-IN" sz="1400"/>
        </a:p>
        <a:p>
          <a:endParaRPr lang="en-IN" sz="1400"/>
        </a:p>
        <a:p>
          <a:endParaRPr lang="en-IN" sz="1400"/>
        </a:p>
        <a:p>
          <a:endParaRPr lang="en-IN" sz="1400"/>
        </a:p>
        <a:p>
          <a:endParaRPr lang="en-IN" sz="1400"/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0</xdr:row>
      <xdr:rowOff>54429</xdr:rowOff>
    </xdr:from>
    <xdr:to>
      <xdr:col>11</xdr:col>
      <xdr:colOff>183870</xdr:colOff>
      <xdr:row>3</xdr:row>
      <xdr:rowOff>38031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9345B1BC-ADE1-4034-AE51-D2B9185DB1B7}"/>
            </a:ext>
          </a:extLst>
        </xdr:cNvPr>
        <xdr:cNvSpPr/>
      </xdr:nvSpPr>
      <xdr:spPr>
        <a:xfrm>
          <a:off x="190499" y="54429"/>
          <a:ext cx="12430300" cy="58231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3600" b="1">
              <a:solidFill>
                <a:schemeClr val="lt1"/>
              </a:solidFill>
              <a:latin typeface="+mn-lt"/>
              <a:ea typeface="+mn-ea"/>
              <a:cs typeface="+mn-cs"/>
            </a:rPr>
            <a:t>Task Managment</a:t>
          </a:r>
          <a:r>
            <a:rPr lang="en-US" sz="36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Tracker</a:t>
          </a:r>
          <a:endParaRPr lang="en-US" sz="3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36635</xdr:colOff>
      <xdr:row>3</xdr:row>
      <xdr:rowOff>85481</xdr:rowOff>
    </xdr:from>
    <xdr:to>
      <xdr:col>2</xdr:col>
      <xdr:colOff>325438</xdr:colOff>
      <xdr:row>6</xdr:row>
      <xdr:rowOff>195384</xdr:rowOff>
    </xdr:to>
    <xdr:sp macro="" textlink="">
      <xdr:nvSpPr>
        <xdr:cNvPr id="3" name="Rounded Rectangle 14">
          <a:extLst>
            <a:ext uri="{FF2B5EF4-FFF2-40B4-BE49-F238E27FC236}">
              <a16:creationId xmlns:a16="http://schemas.microsoft.com/office/drawing/2014/main" id="{4AF2485F-C972-4DCB-99A7-2680D136CFC4}"/>
            </a:ext>
          </a:extLst>
        </xdr:cNvPr>
        <xdr:cNvSpPr/>
      </xdr:nvSpPr>
      <xdr:spPr>
        <a:xfrm>
          <a:off x="306510" y="1625356"/>
          <a:ext cx="923803" cy="729028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415193</xdr:colOff>
      <xdr:row>3</xdr:row>
      <xdr:rowOff>85481</xdr:rowOff>
    </xdr:from>
    <xdr:to>
      <xdr:col>2</xdr:col>
      <xdr:colOff>1309689</xdr:colOff>
      <xdr:row>6</xdr:row>
      <xdr:rowOff>195384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E11B51E7-F4DB-CA65-DC3F-661873C7B447}"/>
            </a:ext>
          </a:extLst>
        </xdr:cNvPr>
        <xdr:cNvSpPr/>
      </xdr:nvSpPr>
      <xdr:spPr>
        <a:xfrm>
          <a:off x="1320068" y="1625356"/>
          <a:ext cx="894496" cy="729028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36635</xdr:colOff>
      <xdr:row>7</xdr:row>
      <xdr:rowOff>61057</xdr:rowOff>
    </xdr:from>
    <xdr:to>
      <xdr:col>2</xdr:col>
      <xdr:colOff>325438</xdr:colOff>
      <xdr:row>10</xdr:row>
      <xdr:rowOff>170961</xdr:rowOff>
    </xdr:to>
    <xdr:sp macro="" textlink="">
      <xdr:nvSpPr>
        <xdr:cNvPr id="5" name="Rounded Rectangle 14">
          <a:extLst>
            <a:ext uri="{FF2B5EF4-FFF2-40B4-BE49-F238E27FC236}">
              <a16:creationId xmlns:a16="http://schemas.microsoft.com/office/drawing/2014/main" id="{B0F91B6B-2A33-CD07-ABCA-C455C3B67C1E}"/>
            </a:ext>
          </a:extLst>
        </xdr:cNvPr>
        <xdr:cNvSpPr/>
      </xdr:nvSpPr>
      <xdr:spPr>
        <a:xfrm>
          <a:off x="306510" y="2426432"/>
          <a:ext cx="923803" cy="729029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415192</xdr:colOff>
      <xdr:row>7</xdr:row>
      <xdr:rowOff>73268</xdr:rowOff>
    </xdr:from>
    <xdr:to>
      <xdr:col>2</xdr:col>
      <xdr:colOff>1317625</xdr:colOff>
      <xdr:row>10</xdr:row>
      <xdr:rowOff>183172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DF8ADDDB-B67D-A5D9-7B92-EC025779B3C9}"/>
            </a:ext>
          </a:extLst>
        </xdr:cNvPr>
        <xdr:cNvSpPr/>
      </xdr:nvSpPr>
      <xdr:spPr>
        <a:xfrm>
          <a:off x="1320067" y="2438643"/>
          <a:ext cx="902433" cy="729029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668844</xdr:colOff>
      <xdr:row>3</xdr:row>
      <xdr:rowOff>121766</xdr:rowOff>
    </xdr:from>
    <xdr:to>
      <xdr:col>10</xdr:col>
      <xdr:colOff>2793651</xdr:colOff>
      <xdr:row>10</xdr:row>
      <xdr:rowOff>109554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D5625C8C-AB8A-47F9-97FF-1126BE20C533}"/>
            </a:ext>
          </a:extLst>
        </xdr:cNvPr>
        <xdr:cNvSpPr/>
      </xdr:nvSpPr>
      <xdr:spPr>
        <a:xfrm>
          <a:off x="10193844" y="1627623"/>
          <a:ext cx="2124807" cy="1384788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1648558</xdr:colOff>
      <xdr:row>3</xdr:row>
      <xdr:rowOff>97692</xdr:rowOff>
    </xdr:from>
    <xdr:to>
      <xdr:col>6</xdr:col>
      <xdr:colOff>146538</xdr:colOff>
      <xdr:row>10</xdr:row>
      <xdr:rowOff>146538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BD1DE3A4-A664-409A-B593-6436777856F8}"/>
            </a:ext>
          </a:extLst>
        </xdr:cNvPr>
        <xdr:cNvSpPr/>
      </xdr:nvSpPr>
      <xdr:spPr>
        <a:xfrm>
          <a:off x="2552212" y="1648557"/>
          <a:ext cx="3480288" cy="1502019"/>
        </a:xfrm>
        <a:prstGeom prst="roundRect">
          <a:avLst>
            <a:gd name="adj" fmla="val 10985"/>
          </a:avLst>
        </a:prstGeom>
        <a:solidFill>
          <a:schemeClr val="accent4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525096</xdr:colOff>
      <xdr:row>3</xdr:row>
      <xdr:rowOff>97692</xdr:rowOff>
    </xdr:from>
    <xdr:to>
      <xdr:col>10</xdr:col>
      <xdr:colOff>354134</xdr:colOff>
      <xdr:row>10</xdr:row>
      <xdr:rowOff>146538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30954910-DBD9-552F-892F-0E6933B09D86}"/>
            </a:ext>
          </a:extLst>
        </xdr:cNvPr>
        <xdr:cNvSpPr/>
      </xdr:nvSpPr>
      <xdr:spPr>
        <a:xfrm>
          <a:off x="6411058" y="1648557"/>
          <a:ext cx="3480288" cy="1502019"/>
        </a:xfrm>
        <a:prstGeom prst="roundRect">
          <a:avLst>
            <a:gd name="adj" fmla="val 10985"/>
          </a:avLst>
        </a:prstGeom>
        <a:solidFill>
          <a:schemeClr val="accent4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15875</xdr:colOff>
      <xdr:row>3</xdr:row>
      <xdr:rowOff>166688</xdr:rowOff>
    </xdr:from>
    <xdr:to>
      <xdr:col>2</xdr:col>
      <xdr:colOff>333374</xdr:colOff>
      <xdr:row>4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867243-181C-67C4-1A05-3FE829C0AD13}"/>
            </a:ext>
          </a:extLst>
        </xdr:cNvPr>
        <xdr:cNvSpPr txBox="1"/>
      </xdr:nvSpPr>
      <xdr:spPr>
        <a:xfrm>
          <a:off x="285750" y="1706563"/>
          <a:ext cx="952499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bg1"/>
              </a:solidFill>
            </a:rPr>
            <a:t>Completed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31750</xdr:colOff>
      <xdr:row>4</xdr:row>
      <xdr:rowOff>198438</xdr:rowOff>
    </xdr:from>
    <xdr:to>
      <xdr:col>2</xdr:col>
      <xdr:colOff>349249</xdr:colOff>
      <xdr:row>6</xdr:row>
      <xdr:rowOff>174625</xdr:rowOff>
    </xdr:to>
    <xdr:sp macro="" textlink="'Support Sheet'!C3">
      <xdr:nvSpPr>
        <xdr:cNvPr id="12" name="TextBox 11">
          <a:extLst>
            <a:ext uri="{FF2B5EF4-FFF2-40B4-BE49-F238E27FC236}">
              <a16:creationId xmlns:a16="http://schemas.microsoft.com/office/drawing/2014/main" id="{61BD45F0-86EA-C9F0-AA39-385A7A92C15B}"/>
            </a:ext>
          </a:extLst>
        </xdr:cNvPr>
        <xdr:cNvSpPr txBox="1"/>
      </xdr:nvSpPr>
      <xdr:spPr>
        <a:xfrm>
          <a:off x="301625" y="1944688"/>
          <a:ext cx="952499" cy="388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33D854F-4098-4182-BDB7-7A17003D0B33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7</a:t>
          </a:fld>
          <a:endParaRPr lang="en-IN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373063</xdr:colOff>
      <xdr:row>3</xdr:row>
      <xdr:rowOff>166688</xdr:rowOff>
    </xdr:from>
    <xdr:to>
      <xdr:col>2</xdr:col>
      <xdr:colOff>1325562</xdr:colOff>
      <xdr:row>4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508A4B-8977-AA36-04AE-0EFC03A0AA43}"/>
            </a:ext>
          </a:extLst>
        </xdr:cNvPr>
        <xdr:cNvSpPr txBox="1"/>
      </xdr:nvSpPr>
      <xdr:spPr>
        <a:xfrm>
          <a:off x="1277938" y="1706563"/>
          <a:ext cx="952499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Not</a:t>
          </a:r>
          <a:r>
            <a:rPr lang="en-IN" sz="1100" b="1" baseline="0">
              <a:solidFill>
                <a:schemeClr val="bg1"/>
              </a:solidFill>
            </a:rPr>
            <a:t> Started</a:t>
          </a:r>
        </a:p>
      </xdr:txBody>
    </xdr:sp>
    <xdr:clientData/>
  </xdr:twoCellAnchor>
  <xdr:twoCellAnchor>
    <xdr:from>
      <xdr:col>2</xdr:col>
      <xdr:colOff>388938</xdr:colOff>
      <xdr:row>4</xdr:row>
      <xdr:rowOff>198438</xdr:rowOff>
    </xdr:from>
    <xdr:to>
      <xdr:col>2</xdr:col>
      <xdr:colOff>1341437</xdr:colOff>
      <xdr:row>6</xdr:row>
      <xdr:rowOff>174625</xdr:rowOff>
    </xdr:to>
    <xdr:sp macro="" textlink="'Support Sheet'!C5">
      <xdr:nvSpPr>
        <xdr:cNvPr id="14" name="TextBox 13">
          <a:extLst>
            <a:ext uri="{FF2B5EF4-FFF2-40B4-BE49-F238E27FC236}">
              <a16:creationId xmlns:a16="http://schemas.microsoft.com/office/drawing/2014/main" id="{302687FA-5161-D015-4E11-10E38AD628DA}"/>
            </a:ext>
          </a:extLst>
        </xdr:cNvPr>
        <xdr:cNvSpPr txBox="1"/>
      </xdr:nvSpPr>
      <xdr:spPr>
        <a:xfrm>
          <a:off x="1293813" y="1944688"/>
          <a:ext cx="952499" cy="388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13FABCF-1E09-4701-8614-ED1D6DDEA8DF}" type="TxLink">
            <a:rPr lang="en-US" sz="3200" b="0" i="0" u="none" strike="noStrike">
              <a:solidFill>
                <a:schemeClr val="bg1"/>
              </a:solidFill>
              <a:latin typeface="Aptos Narrow"/>
            </a:rPr>
            <a:pPr algn="ctr"/>
            <a:t>2</a:t>
          </a:fld>
          <a:endParaRPr lang="en-IN" sz="5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39688</xdr:colOff>
      <xdr:row>7</xdr:row>
      <xdr:rowOff>134938</xdr:rowOff>
    </xdr:from>
    <xdr:to>
      <xdr:col>2</xdr:col>
      <xdr:colOff>357187</xdr:colOff>
      <xdr:row>8</xdr:row>
      <xdr:rowOff>111126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6DDE28-2810-ED61-F7CA-AD29C857752C}"/>
            </a:ext>
          </a:extLst>
        </xdr:cNvPr>
        <xdr:cNvSpPr txBox="1"/>
      </xdr:nvSpPr>
      <xdr:spPr>
        <a:xfrm>
          <a:off x="309563" y="2500313"/>
          <a:ext cx="952499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In</a:t>
          </a:r>
          <a:r>
            <a:rPr lang="en-IN" sz="1100" b="1" baseline="0">
              <a:solidFill>
                <a:schemeClr val="bg1"/>
              </a:solidFill>
            </a:rPr>
            <a:t> Progress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55563</xdr:colOff>
      <xdr:row>8</xdr:row>
      <xdr:rowOff>166688</xdr:rowOff>
    </xdr:from>
    <xdr:to>
      <xdr:col>2</xdr:col>
      <xdr:colOff>373062</xdr:colOff>
      <xdr:row>10</xdr:row>
      <xdr:rowOff>142875</xdr:rowOff>
    </xdr:to>
    <xdr:sp macro="" textlink="'Support Sheet'!C4">
      <xdr:nvSpPr>
        <xdr:cNvPr id="16" name="TextBox 15">
          <a:extLst>
            <a:ext uri="{FF2B5EF4-FFF2-40B4-BE49-F238E27FC236}">
              <a16:creationId xmlns:a16="http://schemas.microsoft.com/office/drawing/2014/main" id="{13FD7BD3-B9D6-B438-32BC-ED4B1D7A728C}"/>
            </a:ext>
          </a:extLst>
        </xdr:cNvPr>
        <xdr:cNvSpPr txBox="1"/>
      </xdr:nvSpPr>
      <xdr:spPr>
        <a:xfrm>
          <a:off x="325438" y="2738438"/>
          <a:ext cx="952499" cy="388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06B459F-F66B-4FAF-A6CF-C9B55FCC465C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6</a:t>
          </a:fld>
          <a:endParaRPr lang="en-IN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396876</xdr:colOff>
      <xdr:row>7</xdr:row>
      <xdr:rowOff>134938</xdr:rowOff>
    </xdr:from>
    <xdr:to>
      <xdr:col>2</xdr:col>
      <xdr:colOff>1349375</xdr:colOff>
      <xdr:row>8</xdr:row>
      <xdr:rowOff>111126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661160D-C7D7-71DD-BEE4-355754677751}"/>
            </a:ext>
          </a:extLst>
        </xdr:cNvPr>
        <xdr:cNvSpPr txBox="1"/>
      </xdr:nvSpPr>
      <xdr:spPr>
        <a:xfrm>
          <a:off x="1301751" y="2500313"/>
          <a:ext cx="952499" cy="18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Total</a:t>
          </a:r>
          <a:r>
            <a:rPr lang="en-IN" sz="1100" b="1" baseline="0">
              <a:solidFill>
                <a:schemeClr val="bg1"/>
              </a:solidFill>
            </a:rPr>
            <a:t> Tasks</a:t>
          </a:r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412751</xdr:colOff>
      <xdr:row>8</xdr:row>
      <xdr:rowOff>166688</xdr:rowOff>
    </xdr:from>
    <xdr:to>
      <xdr:col>2</xdr:col>
      <xdr:colOff>1365250</xdr:colOff>
      <xdr:row>10</xdr:row>
      <xdr:rowOff>142875</xdr:rowOff>
    </xdr:to>
    <xdr:sp macro="" textlink="'Support Sheet'!C6">
      <xdr:nvSpPr>
        <xdr:cNvPr id="18" name="TextBox 17">
          <a:extLst>
            <a:ext uri="{FF2B5EF4-FFF2-40B4-BE49-F238E27FC236}">
              <a16:creationId xmlns:a16="http://schemas.microsoft.com/office/drawing/2014/main" id="{89AD8F60-5155-187D-7CED-A0B672B023E6}"/>
            </a:ext>
          </a:extLst>
        </xdr:cNvPr>
        <xdr:cNvSpPr txBox="1"/>
      </xdr:nvSpPr>
      <xdr:spPr>
        <a:xfrm>
          <a:off x="1317626" y="2738438"/>
          <a:ext cx="952499" cy="388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32665C0-BFE7-4354-89FB-9D545D58E3B0}" type="TxLink">
            <a:rPr lang="en-US" sz="3600" b="0" i="0" u="none" strike="noStrike">
              <a:solidFill>
                <a:schemeClr val="bg1"/>
              </a:solidFill>
              <a:latin typeface="Aptos Narrow"/>
            </a:rPr>
            <a:pPr algn="ctr"/>
            <a:t>15</a:t>
          </a:fld>
          <a:endParaRPr lang="en-IN" sz="6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1647337</xdr:colOff>
      <xdr:row>3</xdr:row>
      <xdr:rowOff>108682</xdr:rowOff>
    </xdr:from>
    <xdr:to>
      <xdr:col>6</xdr:col>
      <xdr:colOff>95250</xdr:colOff>
      <xdr:row>10</xdr:row>
      <xdr:rowOff>119063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754564D-6449-48AA-A546-94A17B4C4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529370</xdr:colOff>
      <xdr:row>3</xdr:row>
      <xdr:rowOff>108681</xdr:rowOff>
    </xdr:from>
    <xdr:to>
      <xdr:col>10</xdr:col>
      <xdr:colOff>293688</xdr:colOff>
      <xdr:row>10</xdr:row>
      <xdr:rowOff>103187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959CFFC-C665-4433-B556-57FBFAB1E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707571</xdr:colOff>
      <xdr:row>3</xdr:row>
      <xdr:rowOff>198438</xdr:rowOff>
    </xdr:from>
    <xdr:to>
      <xdr:col>10</xdr:col>
      <xdr:colOff>2794000</xdr:colOff>
      <xdr:row>6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C5DA663-7063-6950-0DFE-CF2777AE8D08}"/>
            </a:ext>
          </a:extLst>
        </xdr:cNvPr>
        <xdr:cNvSpPr txBox="1"/>
      </xdr:nvSpPr>
      <xdr:spPr>
        <a:xfrm>
          <a:off x="10232571" y="1704295"/>
          <a:ext cx="2086429" cy="4002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bg1"/>
              </a:solidFill>
            </a:rPr>
            <a:t>Overdue</a:t>
          </a:r>
          <a:r>
            <a:rPr lang="en-IN" sz="2000" b="1" baseline="0">
              <a:solidFill>
                <a:schemeClr val="bg1"/>
              </a:solidFill>
            </a:rPr>
            <a:t> Tasks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1147537</xdr:colOff>
      <xdr:row>6</xdr:row>
      <xdr:rowOff>57830</xdr:rowOff>
    </xdr:from>
    <xdr:to>
      <xdr:col>10</xdr:col>
      <xdr:colOff>2322286</xdr:colOff>
      <xdr:row>10</xdr:row>
      <xdr:rowOff>90713</xdr:rowOff>
    </xdr:to>
    <xdr:sp macro="" textlink="'Support Sheet'!K3">
      <xdr:nvSpPr>
        <xdr:cNvPr id="23" name="TextBox 22">
          <a:extLst>
            <a:ext uri="{FF2B5EF4-FFF2-40B4-BE49-F238E27FC236}">
              <a16:creationId xmlns:a16="http://schemas.microsoft.com/office/drawing/2014/main" id="{5B327F5B-6AFA-9D2F-2D42-989F4A94F185}"/>
            </a:ext>
          </a:extLst>
        </xdr:cNvPr>
        <xdr:cNvSpPr txBox="1"/>
      </xdr:nvSpPr>
      <xdr:spPr>
        <a:xfrm>
          <a:off x="10672537" y="2162401"/>
          <a:ext cx="1174749" cy="831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9F9257-32F8-4401-8A93-149A11911218}" type="TxLink">
            <a:rPr lang="en-US" sz="7200" b="0" i="0" u="none" strike="noStrike">
              <a:solidFill>
                <a:schemeClr val="bg1"/>
              </a:solidFill>
              <a:latin typeface="Aptos Narrow"/>
            </a:rPr>
            <a:pPr algn="ctr"/>
            <a:t>8</a:t>
          </a:fld>
          <a:endParaRPr lang="en-IN" sz="595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DEE1B-92FE-4699-B0BE-5D524D5D59F0}" name="Table1" displayName="Table1" ref="B12:K28" totalsRowShown="0" headerRowDxfId="6" headerRowCellStyle="Normal 2">
  <autoFilter ref="B12:K28" xr:uid="{A81DEE1B-92FE-4699-B0BE-5D524D5D59F0}"/>
  <tableColumns count="10">
    <tableColumn id="1" xr3:uid="{C36117DC-8BAD-4A79-87DD-3026C76190CD}" name="Task ID" dataDxfId="5"/>
    <tableColumn id="2" xr3:uid="{042D8D71-EFC1-444F-8DDF-14B76A7BDF67}" name="Task Name"/>
    <tableColumn id="3" xr3:uid="{2247D582-ACD4-4EEB-9E39-481FBEC9A21C}" name="Team"/>
    <tableColumn id="4" xr3:uid="{4899BEBF-E51A-4F44-9042-0B314CDAAE83}" name="Task Owner"/>
    <tableColumn id="5" xr3:uid="{A6122755-6FFD-4740-915B-75BBDFE16946}" name="Start Date" dataDxfId="4"/>
    <tableColumn id="6" xr3:uid="{09A24576-8F2F-4926-97F5-68AF599040DE}" name="Due Date" dataDxfId="3"/>
    <tableColumn id="7" xr3:uid="{BC14A731-744C-4109-8880-DD78074EAC13}" name="Task Duration" dataDxfId="2">
      <calculatedColumnFormula>G13-F13</calculatedColumnFormula>
    </tableColumn>
    <tableColumn id="8" xr3:uid="{D4231AB4-6F87-4D76-9519-2AE7159C9F92}" name="Status" dataDxfId="1"/>
    <tableColumn id="9" xr3:uid="{D6CD6106-52E1-49CC-BC42-097CFC023C3E}" name="Overdue?" dataDxfId="0">
      <calculatedColumnFormula>AND((I13&lt;&gt;"Completed"),(G13&lt;TODAY()))</calculatedColumnFormula>
    </tableColumn>
    <tableColumn id="10" xr3:uid="{6BAF0F96-1065-4434-B7E7-76BC34ED5A3D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3E26-406C-4424-88B3-A93DF1AF632E}">
  <dimension ref="C3:C15"/>
  <sheetViews>
    <sheetView showGridLines="0" tabSelected="1" topLeftCell="A34" zoomScale="53" workbookViewId="0">
      <selection activeCell="K6" sqref="K6"/>
    </sheetView>
  </sheetViews>
  <sheetFormatPr defaultColWidth="10.83203125" defaultRowHeight="16" x14ac:dyDescent="0.4"/>
  <cols>
    <col min="1" max="1" width="10.83203125" style="8"/>
    <col min="2" max="2" width="8.5" style="8" customWidth="1"/>
    <col min="3" max="3" width="95.6640625" style="8" customWidth="1"/>
    <col min="4" max="4" width="9.5" style="8" customWidth="1"/>
    <col min="5" max="16384" width="10.83203125" style="8"/>
  </cols>
  <sheetData>
    <row r="3" spans="3:3" ht="78" x14ac:dyDescent="0.4">
      <c r="C3" s="12"/>
    </row>
    <row r="4" spans="3:3" ht="42" customHeight="1" x14ac:dyDescent="0.4"/>
    <row r="5" spans="3:3" ht="32" customHeight="1" x14ac:dyDescent="0.5">
      <c r="C5" s="13"/>
    </row>
    <row r="6" spans="3:3" ht="11" customHeight="1" x14ac:dyDescent="0.4"/>
    <row r="7" spans="3:3" ht="26" x14ac:dyDescent="0.4">
      <c r="C7" s="9"/>
    </row>
    <row r="8" spans="3:3" ht="11" customHeight="1" x14ac:dyDescent="0.4"/>
    <row r="9" spans="3:3" s="10" customFormat="1" ht="18.5" x14ac:dyDescent="0.45">
      <c r="C9" s="14"/>
    </row>
    <row r="11" spans="3:3" ht="18.5" x14ac:dyDescent="0.45">
      <c r="C11" s="11"/>
    </row>
    <row r="12" spans="3:3" ht="6" customHeight="1" x14ac:dyDescent="0.4"/>
    <row r="13" spans="3:3" x14ac:dyDescent="0.4">
      <c r="C13" s="15"/>
    </row>
    <row r="14" spans="3:3" ht="8" customHeight="1" x14ac:dyDescent="0.4"/>
    <row r="15" spans="3:3" x14ac:dyDescent="0.4">
      <c r="C15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2:K28"/>
  <sheetViews>
    <sheetView showGridLines="0" zoomScale="70" zoomScaleNormal="100" workbookViewId="0">
      <selection activeCell="M19" sqref="M19"/>
    </sheetView>
  </sheetViews>
  <sheetFormatPr defaultColWidth="11.1640625" defaultRowHeight="16" x14ac:dyDescent="0.4"/>
  <cols>
    <col min="1" max="1" width="3.5" customWidth="1"/>
    <col min="2" max="2" width="8.33203125" style="1" customWidth="1"/>
    <col min="3" max="3" width="28.83203125" customWidth="1"/>
    <col min="5" max="5" width="14.1640625" bestFit="1" customWidth="1"/>
    <col min="8" max="8" width="13.33203125" customWidth="1"/>
    <col min="9" max="9" width="12.1640625" style="1" customWidth="1"/>
    <col min="11" max="11" width="38.1640625" customWidth="1"/>
  </cols>
  <sheetData>
    <row r="12" spans="2:11" x14ac:dyDescent="0.4">
      <c r="B12" s="4" t="s">
        <v>1</v>
      </c>
      <c r="C12" s="4" t="s">
        <v>0</v>
      </c>
      <c r="D12" s="4" t="s">
        <v>70</v>
      </c>
      <c r="E12" s="4" t="s">
        <v>6</v>
      </c>
      <c r="F12" s="4" t="s">
        <v>2</v>
      </c>
      <c r="G12" s="4" t="s">
        <v>3</v>
      </c>
      <c r="H12" s="4" t="s">
        <v>11</v>
      </c>
      <c r="I12" s="4" t="s">
        <v>4</v>
      </c>
      <c r="J12" s="4" t="s">
        <v>5</v>
      </c>
      <c r="K12" s="4" t="s">
        <v>7</v>
      </c>
    </row>
    <row r="13" spans="2:11" x14ac:dyDescent="0.4">
      <c r="B13" s="1" t="s">
        <v>13</v>
      </c>
      <c r="C13" t="s">
        <v>14</v>
      </c>
      <c r="D13" t="s">
        <v>65</v>
      </c>
      <c r="E13" t="s">
        <v>15</v>
      </c>
      <c r="F13" s="2">
        <v>45902</v>
      </c>
      <c r="G13" s="2">
        <v>45920</v>
      </c>
      <c r="H13" s="6">
        <f>G13-F13</f>
        <v>18</v>
      </c>
      <c r="I13" s="1" t="s">
        <v>16</v>
      </c>
      <c r="J13" s="1" t="b">
        <f ca="1">AND((I13&lt;&gt;"Completed"),(G13&lt;TODAY()))</f>
        <v>0</v>
      </c>
      <c r="K13" t="s">
        <v>17</v>
      </c>
    </row>
    <row r="14" spans="2:11" x14ac:dyDescent="0.4">
      <c r="B14" s="1" t="s">
        <v>18</v>
      </c>
      <c r="C14" t="s">
        <v>62</v>
      </c>
      <c r="D14" t="s">
        <v>57</v>
      </c>
      <c r="E14" t="s">
        <v>15</v>
      </c>
      <c r="F14" s="2">
        <v>45905</v>
      </c>
      <c r="G14" s="2">
        <v>45925</v>
      </c>
      <c r="H14" s="6">
        <f t="shared" ref="H14:H27" si="0">G14-F14</f>
        <v>20</v>
      </c>
      <c r="I14" s="1" t="s">
        <v>16</v>
      </c>
      <c r="J14" s="1" t="b">
        <f t="shared" ref="J14:J27" ca="1" si="1">AND((I14&lt;&gt;"Completed"),(G14&lt;TODAY()))</f>
        <v>0</v>
      </c>
      <c r="K14" t="s">
        <v>20</v>
      </c>
    </row>
    <row r="15" spans="2:11" x14ac:dyDescent="0.4">
      <c r="B15" s="1" t="s">
        <v>21</v>
      </c>
      <c r="C15" t="s">
        <v>22</v>
      </c>
      <c r="D15" t="s">
        <v>57</v>
      </c>
      <c r="E15" t="s">
        <v>19</v>
      </c>
      <c r="F15" s="2">
        <v>45848</v>
      </c>
      <c r="G15" s="2">
        <v>45874</v>
      </c>
      <c r="H15" s="6">
        <f t="shared" si="0"/>
        <v>26</v>
      </c>
      <c r="I15" s="1" t="s">
        <v>8</v>
      </c>
      <c r="J15" s="1" t="b">
        <f t="shared" ca="1" si="1"/>
        <v>1</v>
      </c>
      <c r="K15" t="s">
        <v>23</v>
      </c>
    </row>
    <row r="16" spans="2:11" x14ac:dyDescent="0.4">
      <c r="B16" s="1" t="s">
        <v>24</v>
      </c>
      <c r="C16" t="s">
        <v>25</v>
      </c>
      <c r="D16" t="s">
        <v>65</v>
      </c>
      <c r="E16" t="s">
        <v>15</v>
      </c>
      <c r="F16" s="2">
        <v>45912</v>
      </c>
      <c r="G16" s="2">
        <v>45930</v>
      </c>
      <c r="H16" s="6">
        <f t="shared" si="0"/>
        <v>18</v>
      </c>
      <c r="I16" s="1" t="s">
        <v>16</v>
      </c>
      <c r="J16" s="1" t="b">
        <f t="shared" ca="1" si="1"/>
        <v>0</v>
      </c>
      <c r="K16" t="s">
        <v>27</v>
      </c>
    </row>
    <row r="17" spans="2:11" x14ac:dyDescent="0.4">
      <c r="B17" s="1" t="s">
        <v>28</v>
      </c>
      <c r="C17" t="s">
        <v>29</v>
      </c>
      <c r="D17" t="s">
        <v>57</v>
      </c>
      <c r="E17" t="s">
        <v>26</v>
      </c>
      <c r="F17" s="2">
        <v>45915</v>
      </c>
      <c r="G17" s="2">
        <v>45940</v>
      </c>
      <c r="H17" s="6">
        <f t="shared" si="0"/>
        <v>25</v>
      </c>
      <c r="I17" s="1" t="s">
        <v>8</v>
      </c>
      <c r="J17" s="1" t="b">
        <f t="shared" ca="1" si="1"/>
        <v>1</v>
      </c>
      <c r="K17" t="s">
        <v>31</v>
      </c>
    </row>
    <row r="18" spans="2:11" x14ac:dyDescent="0.4">
      <c r="B18" s="1" t="s">
        <v>32</v>
      </c>
      <c r="C18" t="s">
        <v>33</v>
      </c>
      <c r="D18" t="s">
        <v>66</v>
      </c>
      <c r="E18" t="s">
        <v>19</v>
      </c>
      <c r="F18" s="2">
        <v>45918</v>
      </c>
      <c r="G18" s="2">
        <v>45945</v>
      </c>
      <c r="H18" s="6">
        <f t="shared" si="0"/>
        <v>27</v>
      </c>
      <c r="I18" s="1" t="s">
        <v>8</v>
      </c>
      <c r="J18" s="1" t="b">
        <f t="shared" ca="1" si="1"/>
        <v>1</v>
      </c>
      <c r="K18" t="s">
        <v>35</v>
      </c>
    </row>
    <row r="19" spans="2:11" x14ac:dyDescent="0.4">
      <c r="B19" s="1" t="s">
        <v>36</v>
      </c>
      <c r="C19" t="s">
        <v>63</v>
      </c>
      <c r="D19" t="s">
        <v>66</v>
      </c>
      <c r="E19" t="s">
        <v>30</v>
      </c>
      <c r="F19" s="2">
        <v>45889</v>
      </c>
      <c r="G19" s="2">
        <v>45896</v>
      </c>
      <c r="H19" s="6">
        <f t="shared" si="0"/>
        <v>7</v>
      </c>
      <c r="I19" s="1" t="s">
        <v>9</v>
      </c>
      <c r="J19" s="1" t="b">
        <f t="shared" ca="1" si="1"/>
        <v>1</v>
      </c>
      <c r="K19" t="s">
        <v>37</v>
      </c>
    </row>
    <row r="20" spans="2:11" x14ac:dyDescent="0.4">
      <c r="B20" s="1" t="s">
        <v>38</v>
      </c>
      <c r="C20" t="s">
        <v>39</v>
      </c>
      <c r="D20" t="s">
        <v>40</v>
      </c>
      <c r="E20" t="s">
        <v>30</v>
      </c>
      <c r="F20" s="2">
        <v>45922</v>
      </c>
      <c r="G20" s="2">
        <v>45942</v>
      </c>
      <c r="H20" s="6">
        <f t="shared" si="0"/>
        <v>20</v>
      </c>
      <c r="I20" s="1" t="s">
        <v>8</v>
      </c>
      <c r="J20" s="1" t="b">
        <f t="shared" ca="1" si="1"/>
        <v>1</v>
      </c>
      <c r="K20" t="s">
        <v>41</v>
      </c>
    </row>
    <row r="21" spans="2:11" x14ac:dyDescent="0.4">
      <c r="B21" s="1" t="s">
        <v>42</v>
      </c>
      <c r="C21" t="s">
        <v>43</v>
      </c>
      <c r="D21" t="s">
        <v>66</v>
      </c>
      <c r="E21" t="s">
        <v>15</v>
      </c>
      <c r="F21" s="2">
        <v>45923</v>
      </c>
      <c r="G21" s="2">
        <v>45950</v>
      </c>
      <c r="H21" s="6">
        <f t="shared" si="0"/>
        <v>27</v>
      </c>
      <c r="I21" s="1" t="s">
        <v>16</v>
      </c>
      <c r="J21" s="1" t="b">
        <f t="shared" ca="1" si="1"/>
        <v>0</v>
      </c>
      <c r="K21" t="s">
        <v>44</v>
      </c>
    </row>
    <row r="22" spans="2:11" x14ac:dyDescent="0.4">
      <c r="B22" s="1" t="s">
        <v>45</v>
      </c>
      <c r="C22" t="s">
        <v>64</v>
      </c>
      <c r="D22" t="s">
        <v>66</v>
      </c>
      <c r="E22" t="s">
        <v>15</v>
      </c>
      <c r="F22" s="2">
        <v>45924</v>
      </c>
      <c r="G22" s="2">
        <v>45935</v>
      </c>
      <c r="H22" s="6">
        <f t="shared" si="0"/>
        <v>11</v>
      </c>
      <c r="I22" s="1" t="s">
        <v>8</v>
      </c>
      <c r="J22" s="1" t="b">
        <f t="shared" ca="1" si="1"/>
        <v>1</v>
      </c>
      <c r="K22" t="s">
        <v>46</v>
      </c>
    </row>
    <row r="23" spans="2:11" x14ac:dyDescent="0.4">
      <c r="B23" s="1" t="s">
        <v>47</v>
      </c>
      <c r="C23" t="s">
        <v>48</v>
      </c>
      <c r="D23" t="s">
        <v>65</v>
      </c>
      <c r="E23" t="s">
        <v>19</v>
      </c>
      <c r="F23" s="2">
        <v>45925</v>
      </c>
      <c r="G23" s="2">
        <v>45932</v>
      </c>
      <c r="H23" s="6">
        <f t="shared" si="0"/>
        <v>7</v>
      </c>
      <c r="I23" s="1" t="s">
        <v>16</v>
      </c>
      <c r="J23" s="1" t="b">
        <f t="shared" ca="1" si="1"/>
        <v>0</v>
      </c>
      <c r="K23" t="s">
        <v>49</v>
      </c>
    </row>
    <row r="24" spans="2:11" x14ac:dyDescent="0.4">
      <c r="B24" s="1" t="s">
        <v>50</v>
      </c>
      <c r="C24" t="s">
        <v>67</v>
      </c>
      <c r="D24" s="3" t="s">
        <v>57</v>
      </c>
      <c r="E24" t="s">
        <v>15</v>
      </c>
      <c r="F24" s="2">
        <v>45926</v>
      </c>
      <c r="G24" s="2">
        <v>45960</v>
      </c>
      <c r="H24" s="6">
        <f t="shared" si="0"/>
        <v>34</v>
      </c>
      <c r="I24" s="1" t="s">
        <v>16</v>
      </c>
      <c r="J24" s="1" t="b">
        <f t="shared" ca="1" si="1"/>
        <v>0</v>
      </c>
      <c r="K24" t="s">
        <v>51</v>
      </c>
    </row>
    <row r="25" spans="2:11" x14ac:dyDescent="0.4">
      <c r="B25" s="1" t="s">
        <v>52</v>
      </c>
      <c r="C25" t="s">
        <v>53</v>
      </c>
      <c r="D25" s="3" t="s">
        <v>57</v>
      </c>
      <c r="E25" t="s">
        <v>34</v>
      </c>
      <c r="F25" s="2">
        <v>45927</v>
      </c>
      <c r="G25" s="2">
        <v>45937</v>
      </c>
      <c r="H25" s="6">
        <f t="shared" si="0"/>
        <v>10</v>
      </c>
      <c r="I25" s="1" t="s">
        <v>8</v>
      </c>
      <c r="J25" s="1" t="b">
        <f t="shared" ca="1" si="1"/>
        <v>1</v>
      </c>
      <c r="K25" t="s">
        <v>54</v>
      </c>
    </row>
    <row r="26" spans="2:11" x14ac:dyDescent="0.4">
      <c r="B26" s="1" t="s">
        <v>55</v>
      </c>
      <c r="C26" t="s">
        <v>56</v>
      </c>
      <c r="D26" t="s">
        <v>57</v>
      </c>
      <c r="E26" t="s">
        <v>34</v>
      </c>
      <c r="F26" s="2">
        <v>45928</v>
      </c>
      <c r="G26" s="2">
        <v>45948</v>
      </c>
      <c r="H26" s="6">
        <f t="shared" si="0"/>
        <v>20</v>
      </c>
      <c r="I26" s="1" t="s">
        <v>16</v>
      </c>
      <c r="J26" s="1" t="b">
        <f t="shared" ca="1" si="1"/>
        <v>0</v>
      </c>
      <c r="K26" t="s">
        <v>58</v>
      </c>
    </row>
    <row r="27" spans="2:11" x14ac:dyDescent="0.4">
      <c r="B27" s="1" t="s">
        <v>59</v>
      </c>
      <c r="C27" t="s">
        <v>60</v>
      </c>
      <c r="D27" t="s">
        <v>65</v>
      </c>
      <c r="E27" t="s">
        <v>34</v>
      </c>
      <c r="F27" s="2">
        <v>45929</v>
      </c>
      <c r="G27" s="2">
        <v>45934</v>
      </c>
      <c r="H27" s="6">
        <f t="shared" si="0"/>
        <v>5</v>
      </c>
      <c r="I27" s="1" t="s">
        <v>9</v>
      </c>
      <c r="J27" s="1" t="b">
        <f t="shared" ca="1" si="1"/>
        <v>1</v>
      </c>
      <c r="K27" t="s">
        <v>61</v>
      </c>
    </row>
    <row r="28" spans="2:11" x14ac:dyDescent="0.4">
      <c r="F28" s="2"/>
      <c r="G28" s="2"/>
      <c r="H28" s="6"/>
      <c r="I28" s="2"/>
      <c r="J28" s="1"/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89E9F6-D9FB-43BA-A275-D2F7CCEEDD0C}">
          <x14:formula1>
            <xm:f>'Support Sheet'!$E$3:$E$7</xm:f>
          </x14:formula1>
          <xm:sqref>E13:E28</xm:sqref>
        </x14:dataValidation>
        <x14:dataValidation type="list" allowBlank="1" showInputMessage="1" showErrorMessage="1" xr:uid="{6A1A26E3-C1FA-421C-9066-E78072075726}">
          <x14:formula1>
            <xm:f>'Support Sheet'!$H$3:$H$6</xm:f>
          </x14:formula1>
          <xm:sqref>D26</xm:sqref>
        </x14:dataValidation>
        <x14:dataValidation type="list" allowBlank="1" showInputMessage="1" showErrorMessage="1" xr:uid="{31EEBE88-25F5-44BC-B28B-9CA0B796932A}">
          <x14:formula1>
            <xm:f>'Support Sheet'!$B$3:$B$5</xm:f>
          </x14:formula1>
          <xm:sqref>I20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>
      <selection activeCell="F10" sqref="F10"/>
    </sheetView>
  </sheetViews>
  <sheetFormatPr defaultColWidth="11.1640625" defaultRowHeight="16" x14ac:dyDescent="0.4"/>
  <cols>
    <col min="1" max="1" width="3.33203125" customWidth="1"/>
    <col min="3" max="3" width="6.1640625" bestFit="1" customWidth="1"/>
    <col min="4" max="4" width="7.83203125" customWidth="1"/>
    <col min="5" max="5" width="14.1640625" bestFit="1" customWidth="1"/>
    <col min="6" max="6" width="6.1640625" style="1" bestFit="1" customWidth="1"/>
    <col min="7" max="7" width="7.83203125" customWidth="1"/>
    <col min="9" max="9" width="6.1640625" bestFit="1" customWidth="1"/>
    <col min="10" max="10" width="7.83203125" customWidth="1"/>
    <col min="11" max="11" width="8" bestFit="1" customWidth="1"/>
  </cols>
  <sheetData>
    <row r="2" spans="2:11" x14ac:dyDescent="0.4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 x14ac:dyDescent="0.4">
      <c r="B3" t="s">
        <v>16</v>
      </c>
      <c r="C3" s="1">
        <f>COUNTIF(Table1[Status],"Completed")</f>
        <v>7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 'Support Sheet'!H3)</f>
        <v>4</v>
      </c>
      <c r="K3" s="1">
        <f ca="1">COUNTIF(Table1[Overdue?],TRUE)</f>
        <v>8</v>
      </c>
    </row>
    <row r="4" spans="2:11" x14ac:dyDescent="0.4">
      <c r="B4" t="s">
        <v>8</v>
      </c>
      <c r="C4" s="1">
        <f>COUNTIF(Table1[Status],"In Progress")</f>
        <v>6</v>
      </c>
      <c r="E4" t="s">
        <v>19</v>
      </c>
      <c r="F4" s="1">
        <f>COUNTIF(Table1[Task Owner],'Support Sheet'!E4)</f>
        <v>3</v>
      </c>
      <c r="H4" t="s">
        <v>57</v>
      </c>
      <c r="I4" s="1">
        <f>COUNTIF(Table1[Team], 'Support Sheet'!H4)</f>
        <v>6</v>
      </c>
    </row>
    <row r="5" spans="2:11" x14ac:dyDescent="0.4">
      <c r="B5" t="s">
        <v>9</v>
      </c>
      <c r="C5" s="1">
        <f>COUNTIF(Table1[Status],"Not Started")</f>
        <v>2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 'Support Sheet'!H5)</f>
        <v>4</v>
      </c>
    </row>
    <row r="6" spans="2:11" x14ac:dyDescent="0.4">
      <c r="B6" t="s">
        <v>69</v>
      </c>
      <c r="C6" s="1">
        <f>SUM(C3:C5)</f>
        <v>15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 'Support Sheet'!H6)</f>
        <v>1</v>
      </c>
    </row>
    <row r="7" spans="2:11" x14ac:dyDescent="0.4">
      <c r="E7" t="s">
        <v>34</v>
      </c>
      <c r="F7" s="1">
        <f>COUNTIF(Table1[Task Owner],'Support Sheet'!E7)</f>
        <v>3</v>
      </c>
      <c r="I7" s="1"/>
    </row>
    <row r="10" spans="2:11" x14ac:dyDescent="0.4">
      <c r="E10" s="1"/>
      <c r="F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Nishanth HV</cp:lastModifiedBy>
  <dcterms:created xsi:type="dcterms:W3CDTF">2025-09-19T00:51:58Z</dcterms:created>
  <dcterms:modified xsi:type="dcterms:W3CDTF">2025-11-25T13:24:24Z</dcterms:modified>
</cp:coreProperties>
</file>